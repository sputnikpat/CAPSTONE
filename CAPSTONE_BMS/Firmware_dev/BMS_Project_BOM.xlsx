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 BOM" sheetId="1" state="visible" r:id="rId3"/>
    <sheet name="Quantity Notes" sheetId="2" state="visible" r:id="rId4"/>
    <sheet name="Order Prior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<sst xmlns="http://schemas.openxmlformats.org/spreadsheetml/2006/main" count="240" uniqueCount="170">
  <si>
    <t xml:space="preserve">Reconfigurable BMS for Rover — Complete Bill of Materials</t>
  </si>
  <si>
    <t xml:space="preserve">B.Tech Capstone Project | All prices in INR | Prices are estimates, verify before ordering</t>
  </si>
  <si>
    <t xml:space="preserve">#</t>
  </si>
  <si>
    <t xml:space="preserve">Component</t>
  </si>
  <si>
    <t xml:space="preserve">Specification / Part Number</t>
  </si>
  <si>
    <t xml:space="preserve">Package</t>
  </si>
  <si>
    <t xml:space="preserve">Qty</t>
  </si>
  <si>
    <t xml:space="preserve">Unit Price (₹)</t>
  </si>
  <si>
    <t xml:space="preserve">Total (₹)</t>
  </si>
  <si>
    <t xml:space="preserve">Suggested Source</t>
  </si>
  <si>
    <t xml:space="preserve">BATTERY SUBSYSTEM</t>
  </si>
  <si>
    <t xml:space="preserve">Li-ion cells</t>
  </si>
  <si>
    <t xml:space="preserve">Samsung INR18650-30Q (3Ah, 15A, 20mΩ)</t>
  </si>
  <si>
    <t xml:space="preserve">18650</t>
  </si>
  <si>
    <t xml:space="preserve">Amazon IN / Robu</t>
  </si>
  <si>
    <t xml:space="preserve">Cell holders</t>
  </si>
  <si>
    <t xml:space="preserve">Single 18650 holder with solder tabs</t>
  </si>
  <si>
    <t xml:space="preserve">Through-hole</t>
  </si>
  <si>
    <t xml:space="preserve">Amazon IN</t>
  </si>
  <si>
    <t xml:space="preserve">SWITCHING SUBSYSTEM</t>
  </si>
  <si>
    <t xml:space="preserve">P-MOSFET</t>
  </si>
  <si>
    <t xml:space="preserve">IRF4905 (back-to-back pairs for Q1,Q2,Q3)</t>
  </si>
  <si>
    <t xml:space="preserve">TO-220</t>
  </si>
  <si>
    <t xml:space="preserve">NPN transistor</t>
  </si>
  <si>
    <t xml:space="preserve">2N2222A (level shifter, 1 per switch)</t>
  </si>
  <si>
    <t xml:space="preserve">TO-92</t>
  </si>
  <si>
    <t xml:space="preserve">Local / Amazon</t>
  </si>
  <si>
    <t xml:space="preserve">TO-220 heatsink</t>
  </si>
  <si>
    <t xml:space="preserve">Clip-on aluminium (~20°C/W)</t>
  </si>
  <si>
    <t xml:space="preserve">Clip-on</t>
  </si>
  <si>
    <t xml:space="preserve">Precharge resistor</t>
  </si>
  <si>
    <t xml:space="preserve">10Ω 2W wire-wound</t>
  </si>
  <si>
    <t xml:space="preserve">Axial</t>
  </si>
  <si>
    <t xml:space="preserve">Local</t>
  </si>
  <si>
    <t xml:space="preserve">Bulk capacitor</t>
  </si>
  <si>
    <t xml:space="preserve">4700µF 25V electrolytic</t>
  </si>
  <si>
    <t xml:space="preserve">Radial</t>
  </si>
  <si>
    <t xml:space="preserve">LEVEL SHIFTER RESISTORS</t>
  </si>
  <si>
    <t xml:space="preserve">Resistor 1kΩ</t>
  </si>
  <si>
    <t xml:space="preserve">Metal film 1/4W 1% (NPN base)</t>
  </si>
  <si>
    <t xml:space="preserve">Resistor 10kΩ</t>
  </si>
  <si>
    <t xml:space="preserve">Metal film 1/4W 1% (gate pull-up + NTC + divider)</t>
  </si>
  <si>
    <t xml:space="preserve">Resistor 33kΩ</t>
  </si>
  <si>
    <t xml:space="preserve">Metal film 1/4W 1% (divider top)</t>
  </si>
  <si>
    <t xml:space="preserve">Resistor 100kΩ</t>
  </si>
  <si>
    <t xml:space="preserve">Metal film 1/4W 1% (NPN base pull-down, SAFETY)</t>
  </si>
  <si>
    <t xml:space="preserve">SENSING SUBSYSTEM</t>
  </si>
  <si>
    <t xml:space="preserve">INA226 module</t>
  </si>
  <si>
    <t xml:space="preserve">Current+voltage sensor breakout (verify shunt value)</t>
  </si>
  <si>
    <t xml:space="preserve">Module</t>
  </si>
  <si>
    <t xml:space="preserve">NTC thermistor</t>
  </si>
  <si>
    <t xml:space="preserve">10K bead type with wire leads</t>
  </si>
  <si>
    <t xml:space="preserve">CONTROL SUBSYSTEM</t>
  </si>
  <si>
    <t xml:space="preserve">STM32 board</t>
  </si>
  <si>
    <t xml:space="preserve">NUCLEO-F446RE (Nucleo-64)</t>
  </si>
  <si>
    <t xml:space="preserve">Dev board</t>
  </si>
  <si>
    <t xml:space="preserve">Mouser India</t>
  </si>
  <si>
    <t xml:space="preserve">POWER SUPPLY</t>
  </si>
  <si>
    <t xml:space="preserve">Buck converter</t>
  </si>
  <si>
    <t xml:space="preserve">LM2596 module (4.5-40V in, adjustable out, 3A)</t>
  </si>
  <si>
    <t xml:space="preserve">LDO regulator</t>
  </si>
  <si>
    <t xml:space="preserve">AMS1117-3.3 (5V to 3.3V, optional)</t>
  </si>
  <si>
    <t xml:space="preserve">Module/SMD</t>
  </si>
  <si>
    <t xml:space="preserve">SAFETY HARDWARE</t>
  </si>
  <si>
    <t xml:space="preserve">Polyfuse</t>
  </si>
  <si>
    <t xml:space="preserve">15A resettable (PPTC)</t>
  </si>
  <si>
    <t xml:space="preserve">XT60 connector</t>
  </si>
  <si>
    <t xml:space="preserve">Male+female pair (kill switch loop)</t>
  </si>
  <si>
    <t xml:space="preserve">Connector</t>
  </si>
  <si>
    <t xml:space="preserve">XT30 connector</t>
  </si>
  <si>
    <t xml:space="preserve">Male+female pair (cell connections)</t>
  </si>
  <si>
    <t xml:space="preserve">COMMUNICATION (OPTIONAL)</t>
  </si>
  <si>
    <t xml:space="preserve">CAN transceiver</t>
  </si>
  <si>
    <t xml:space="preserve">SN65HVD230 module (for vehicle integration)</t>
  </si>
  <si>
    <t xml:space="preserve">OLED display</t>
  </si>
  <si>
    <t xml:space="preserve">SSD1306 128x64 I2C (rover status, optional)</t>
  </si>
  <si>
    <t xml:space="preserve">PROTOTYPING</t>
  </si>
  <si>
    <t xml:space="preserve">Zero PCB</t>
  </si>
  <si>
    <t xml:space="preserve">10cm x 15cm perfboard</t>
  </si>
  <si>
    <t xml:space="preserve">Board</t>
  </si>
  <si>
    <t xml:space="preserve">Breadboard</t>
  </si>
  <si>
    <t xml:space="preserve">830-point (for level shifter test)</t>
  </si>
  <si>
    <t xml:space="preserve">Power wire</t>
  </si>
  <si>
    <t xml:space="preserve">14 AWG silicone (2m red + 2m black)</t>
  </si>
  <si>
    <t xml:space="preserve">Wire</t>
  </si>
  <si>
    <t xml:space="preserve">Signal wire</t>
  </si>
  <si>
    <t xml:space="preserve">22 AWG assorted colors</t>
  </si>
  <si>
    <t xml:space="preserve">Header pins</t>
  </si>
  <si>
    <t xml:space="preserve">Male + female breakaway strips</t>
  </si>
  <si>
    <t xml:space="preserve">Misc consumables</t>
  </si>
  <si>
    <t xml:space="preserve">Solder, flux, heat shrink, Kapton tape, zip ties</t>
  </si>
  <si>
    <t xml:space="preserve">Set</t>
  </si>
  <si>
    <t xml:space="preserve">ROVER PLATFORM</t>
  </si>
  <si>
    <t xml:space="preserve">4WD chassis</t>
  </si>
  <si>
    <t xml:space="preserve">Chassis kit with 4x DC gear motors</t>
  </si>
  <si>
    <t xml:space="preserve">Kit</t>
  </si>
  <si>
    <t xml:space="preserve">Motor driver</t>
  </si>
  <si>
    <t xml:space="preserve">BTS7960 module (43A max)</t>
  </si>
  <si>
    <t xml:space="preserve">RC controller</t>
  </si>
  <si>
    <t xml:space="preserve">FlySky FS-i6 transmitter + receiver</t>
  </si>
  <si>
    <t xml:space="preserve">PCB FABRICATION (LATER)</t>
  </si>
  <si>
    <t xml:space="preserve">Custom PCB</t>
  </si>
  <si>
    <t xml:space="preserve">2-layer, 2oz copper, JLCPCB (set of 5)</t>
  </si>
  <si>
    <t xml:space="preserve">Fabrication</t>
  </si>
  <si>
    <t xml:space="preserve">JLCPCB</t>
  </si>
  <si>
    <t xml:space="preserve">BMS Electronics Subtotal:</t>
  </si>
  <si>
    <t xml:space="preserve">Rover Platform Subtotal:</t>
  </si>
  <si>
    <t xml:space="preserve">PCB Fabrication (later):</t>
  </si>
  <si>
    <t xml:space="preserve">GRAND TOTAL:</t>
  </si>
  <si>
    <t xml:space="preserve">Quantity Rationale — Why These Counts</t>
  </si>
  <si>
    <t xml:space="preserve">Reasoning</t>
  </si>
  <si>
    <t xml:space="preserve">6</t>
  </si>
  <si>
    <t xml:space="preserve">3S2P config: 3 cells in series x 2 parallel strings = 6 cells</t>
  </si>
  <si>
    <t xml:space="preserve">IRF4905 P-MOSFET</t>
  </si>
  <si>
    <t xml:space="preserve">8</t>
  </si>
  <si>
    <t xml:space="preserve">Back-to-back pairs needed (body diode blocking): Q1=2, Q2=2, Q3=2 = 6 required + 2 spares</t>
  </si>
  <si>
    <t xml:space="preserve">2N2222A NPN</t>
  </si>
  <si>
    <t xml:space="preserve">5</t>
  </si>
  <si>
    <t xml:space="preserve">One level shifter per switch group (Q1, Q2, Q3) = 3 required + 2 spares</t>
  </si>
  <si>
    <t xml:space="preserve">One per MOSFET (6 in circuit) + 2 spares</t>
  </si>
  <si>
    <t xml:space="preserve">Precharge resistor 10Ω 2W</t>
  </si>
  <si>
    <t xml:space="preserve">2</t>
  </si>
  <si>
    <t xml:space="preserve">One in circuit + 1 spare</t>
  </si>
  <si>
    <t xml:space="preserve">Bulk capacitor 4700µF</t>
  </si>
  <si>
    <t xml:space="preserve">One on output bus + 1 spare</t>
  </si>
  <si>
    <t xml:space="preserve">10</t>
  </si>
  <si>
    <t xml:space="preserve">3 NPN base resistors + spares (buy in 10s, cheap)</t>
  </si>
  <si>
    <t xml:space="preserve">20</t>
  </si>
  <si>
    <t xml:space="preserve">3 gate pull-ups + 6 NTC pull-ups + 6 divider bottoms = 15 + spares</t>
  </si>
  <si>
    <t xml:space="preserve">6 voltage divider tops + spares</t>
  </si>
  <si>
    <t xml:space="preserve">3 NPN base pull-downs (safety) + spares</t>
  </si>
  <si>
    <t xml:space="preserve">3</t>
  </si>
  <si>
    <t xml:space="preserve">One per string (2 strings) + 1 spare</t>
  </si>
  <si>
    <t xml:space="preserve">One per cell (6 cells) + 2 spares</t>
  </si>
  <si>
    <t xml:space="preserve">STM32 Nucleo</t>
  </si>
  <si>
    <t xml:space="preserve">1</t>
  </si>
  <si>
    <t xml:space="preserve">Single MCU controls everything; no redundancy needed for POC</t>
  </si>
  <si>
    <t xml:space="preserve">Single supply for BMS electronics</t>
  </si>
  <si>
    <t xml:space="preserve">Polyfuse 15A</t>
  </si>
  <si>
    <t xml:space="preserve">One in circuit + 1 spare (rated above 10A peak load)</t>
  </si>
  <si>
    <t xml:space="preserve">Kill switch loop (male + female)</t>
  </si>
  <si>
    <t xml:space="preserve">One per cell pair for battery connections</t>
  </si>
  <si>
    <t xml:space="preserve">One for prototype + 1 spare in case of soldering errors</t>
  </si>
  <si>
    <t xml:space="preserve">Procurement Priority — What to Order First</t>
  </si>
  <si>
    <t xml:space="preserve">Priority</t>
  </si>
  <si>
    <t xml:space="preserve">Item</t>
  </si>
  <si>
    <t xml:space="preserve">Why Order First</t>
  </si>
  <si>
    <t xml:space="preserve">Lead Time</t>
  </si>
  <si>
    <t xml:space="preserve">1 (Day 1)</t>
  </si>
  <si>
    <t xml:space="preserve">STM32 NUCLEO-F446RE</t>
  </si>
  <si>
    <t xml:space="preserve">Longest lead time from Mouser India; everything depends on it</t>
  </si>
  <si>
    <t xml:space="preserve">1-2 weeks</t>
  </si>
  <si>
    <t xml:space="preserve">IRF4905, 2N2222A, resistors</t>
  </si>
  <si>
    <t xml:space="preserve">Needed for Milestone 1 switching prototype</t>
  </si>
  <si>
    <t xml:space="preserve">3-5 days</t>
  </si>
  <si>
    <t xml:space="preserve">INA226, NTC, dividers</t>
  </si>
  <si>
    <t xml:space="preserve">Needed for Milestone 2 sensing</t>
  </si>
  <si>
    <t xml:space="preserve">4</t>
  </si>
  <si>
    <t xml:space="preserve">Cells + holders</t>
  </si>
  <si>
    <t xml:space="preserve">Needed for Milestone 3 (real cell testing)</t>
  </si>
  <si>
    <t xml:space="preserve">Buck, fuse, connectors, wire</t>
  </si>
  <si>
    <t xml:space="preserve">Needed for Milestone 3 bench integration</t>
  </si>
  <si>
    <t xml:space="preserve">6 (parallel)</t>
  </si>
  <si>
    <t xml:space="preserve">Rover chassis, motor driver, RC</t>
  </si>
  <si>
    <t xml:space="preserve">Can build rover platform anytime; not on critical path</t>
  </si>
  <si>
    <t xml:space="preserve">1 week</t>
  </si>
  <si>
    <t xml:space="preserve">7 (later)</t>
  </si>
  <si>
    <t xml:space="preserve">Custom PCB fab</t>
  </si>
  <si>
    <t xml:space="preserve">Only after zero PCB validates logic (Milestone 4)</t>
  </si>
  <si>
    <t xml:space="preserve">5-7 days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</si>
</sst>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A1A2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D4E6F1"/>
        <bgColor rgb="FFE8E8E8"/>
      </patternFill>
    </fill>
    <fill>
      <patternFill patternType="solid">
        <fgColor rgb="FFE8E8E8"/>
        <bgColor rgb="FFD4E6F1"/>
      </patternFill>
    </fill>
    <fill>
      <patternFill patternType="solid">
        <fgColor rgb="FFFCE4B6"/>
        <bgColor rgb="FFE8E8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8E8E8"/>
      <rgbColor rgb="FFD4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B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5" t="n">
        <v>1</v>
      </c>
      <c r="B6" s="6" t="s">
        <v>11</v>
      </c>
      <c r="C6" s="6" t="s">
        <v>12</v>
      </c>
      <c r="D6" s="7" t="s">
        <v>13</v>
      </c>
      <c r="E6" s="5" t="n">
        <v>6</v>
      </c>
      <c r="F6" s="8" t="n">
        <v>250</v>
      </c>
      <c r="G6" s="8" t="n">
        <f aca="false">E6*F6</f>
        <v>1500</v>
      </c>
      <c r="H6" s="7" t="s">
        <v>14</v>
      </c>
    </row>
    <row r="7" customFormat="false" ht="15" hidden="false" customHeight="false" outlineLevel="0" collapsed="false">
      <c r="A7" s="5" t="n">
        <v>2</v>
      </c>
      <c r="B7" s="6" t="s">
        <v>15</v>
      </c>
      <c r="C7" s="6" t="s">
        <v>16</v>
      </c>
      <c r="D7" s="7" t="s">
        <v>17</v>
      </c>
      <c r="E7" s="5" t="n">
        <v>6</v>
      </c>
      <c r="F7" s="8" t="n">
        <v>25</v>
      </c>
      <c r="G7" s="8" t="n">
        <f aca="false">E7*F7</f>
        <v>150</v>
      </c>
      <c r="H7" s="7" t="s">
        <v>18</v>
      </c>
    </row>
    <row r="8" customFormat="false" ht="15" hidden="false" customHeight="false" outlineLevel="0" collapsed="false">
      <c r="A8" s="4" t="s">
        <v>19</v>
      </c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5" t="n">
        <v>3</v>
      </c>
      <c r="B9" s="6" t="s">
        <v>20</v>
      </c>
      <c r="C9" s="6" t="s">
        <v>21</v>
      </c>
      <c r="D9" s="7" t="s">
        <v>22</v>
      </c>
      <c r="E9" s="5" t="n">
        <v>8</v>
      </c>
      <c r="F9" s="8" t="n">
        <v>50</v>
      </c>
      <c r="G9" s="8" t="n">
        <f aca="false">E9*F9</f>
        <v>400</v>
      </c>
      <c r="H9" s="7" t="s">
        <v>14</v>
      </c>
    </row>
    <row r="10" customFormat="false" ht="15" hidden="false" customHeight="false" outlineLevel="0" collapsed="false">
      <c r="A10" s="5" t="n">
        <v>4</v>
      </c>
      <c r="B10" s="6" t="s">
        <v>23</v>
      </c>
      <c r="C10" s="6" t="s">
        <v>24</v>
      </c>
      <c r="D10" s="7" t="s">
        <v>25</v>
      </c>
      <c r="E10" s="5" t="n">
        <v>5</v>
      </c>
      <c r="F10" s="8" t="n">
        <v>5</v>
      </c>
      <c r="G10" s="8" t="n">
        <f aca="false">E10*F10</f>
        <v>25</v>
      </c>
      <c r="H10" s="7" t="s">
        <v>26</v>
      </c>
    </row>
    <row r="11" customFormat="false" ht="15" hidden="false" customHeight="false" outlineLevel="0" collapsed="false">
      <c r="A11" s="5" t="n">
        <v>5</v>
      </c>
      <c r="B11" s="6" t="s">
        <v>27</v>
      </c>
      <c r="C11" s="6" t="s">
        <v>28</v>
      </c>
      <c r="D11" s="7" t="s">
        <v>29</v>
      </c>
      <c r="E11" s="5" t="n">
        <v>8</v>
      </c>
      <c r="F11" s="8" t="n">
        <v>15</v>
      </c>
      <c r="G11" s="8" t="n">
        <f aca="false">E11*F11</f>
        <v>120</v>
      </c>
      <c r="H11" s="7" t="s">
        <v>18</v>
      </c>
    </row>
    <row r="12" customFormat="false" ht="15" hidden="false" customHeight="false" outlineLevel="0" collapsed="false">
      <c r="A12" s="5" t="n">
        <v>6</v>
      </c>
      <c r="B12" s="6" t="s">
        <v>30</v>
      </c>
      <c r="C12" s="6" t="s">
        <v>31</v>
      </c>
      <c r="D12" s="7" t="s">
        <v>32</v>
      </c>
      <c r="E12" s="5" t="n">
        <v>2</v>
      </c>
      <c r="F12" s="8" t="n">
        <v>8</v>
      </c>
      <c r="G12" s="8" t="n">
        <f aca="false">E12*F12</f>
        <v>16</v>
      </c>
      <c r="H12" s="7" t="s">
        <v>33</v>
      </c>
    </row>
    <row r="13" customFormat="false" ht="15" hidden="false" customHeight="false" outlineLevel="0" collapsed="false">
      <c r="A13" s="5" t="n">
        <v>7</v>
      </c>
      <c r="B13" s="6" t="s">
        <v>34</v>
      </c>
      <c r="C13" s="6" t="s">
        <v>35</v>
      </c>
      <c r="D13" s="7" t="s">
        <v>36</v>
      </c>
      <c r="E13" s="5" t="n">
        <v>2</v>
      </c>
      <c r="F13" s="8" t="n">
        <v>40</v>
      </c>
      <c r="G13" s="8" t="n">
        <f aca="false">E13*F13</f>
        <v>80</v>
      </c>
      <c r="H13" s="7" t="s">
        <v>26</v>
      </c>
    </row>
    <row r="14" customFormat="false" ht="15" hidden="false" customHeight="false" outlineLevel="0" collapsed="false">
      <c r="A14" s="4" t="s">
        <v>37</v>
      </c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A15" s="5" t="n">
        <v>8</v>
      </c>
      <c r="B15" s="6" t="s">
        <v>38</v>
      </c>
      <c r="C15" s="6" t="s">
        <v>39</v>
      </c>
      <c r="D15" s="7" t="s">
        <v>32</v>
      </c>
      <c r="E15" s="5" t="n">
        <v>10</v>
      </c>
      <c r="F15" s="8" t="n">
        <v>1</v>
      </c>
      <c r="G15" s="8" t="n">
        <f aca="false">E15*F15</f>
        <v>10</v>
      </c>
      <c r="H15" s="7" t="s">
        <v>33</v>
      </c>
    </row>
    <row r="16" customFormat="false" ht="15" hidden="false" customHeight="false" outlineLevel="0" collapsed="false">
      <c r="A16" s="5" t="n">
        <v>9</v>
      </c>
      <c r="B16" s="6" t="s">
        <v>40</v>
      </c>
      <c r="C16" s="6" t="s">
        <v>41</v>
      </c>
      <c r="D16" s="7" t="s">
        <v>32</v>
      </c>
      <c r="E16" s="5" t="n">
        <v>20</v>
      </c>
      <c r="F16" s="8" t="n">
        <v>1</v>
      </c>
      <c r="G16" s="8" t="n">
        <f aca="false">E16*F16</f>
        <v>20</v>
      </c>
      <c r="H16" s="7" t="s">
        <v>33</v>
      </c>
    </row>
    <row r="17" customFormat="false" ht="15" hidden="false" customHeight="false" outlineLevel="0" collapsed="false">
      <c r="A17" s="5" t="n">
        <v>10</v>
      </c>
      <c r="B17" s="6" t="s">
        <v>42</v>
      </c>
      <c r="C17" s="6" t="s">
        <v>43</v>
      </c>
      <c r="D17" s="7" t="s">
        <v>32</v>
      </c>
      <c r="E17" s="5" t="n">
        <v>10</v>
      </c>
      <c r="F17" s="8" t="n">
        <v>1</v>
      </c>
      <c r="G17" s="8" t="n">
        <f aca="false">E17*F17</f>
        <v>10</v>
      </c>
      <c r="H17" s="7" t="s">
        <v>33</v>
      </c>
    </row>
    <row r="18" customFormat="false" ht="23.85" hidden="false" customHeight="false" outlineLevel="0" collapsed="false">
      <c r="A18" s="5" t="n">
        <v>11</v>
      </c>
      <c r="B18" s="6" t="s">
        <v>44</v>
      </c>
      <c r="C18" s="6" t="s">
        <v>45</v>
      </c>
      <c r="D18" s="7" t="s">
        <v>32</v>
      </c>
      <c r="E18" s="5" t="n">
        <v>5</v>
      </c>
      <c r="F18" s="8" t="n">
        <v>1</v>
      </c>
      <c r="G18" s="8" t="n">
        <f aca="false">E18*F18</f>
        <v>5</v>
      </c>
      <c r="H18" s="7" t="s">
        <v>33</v>
      </c>
    </row>
    <row r="19" customFormat="false" ht="15" hidden="false" customHeight="false" outlineLevel="0" collapsed="false">
      <c r="A19" s="4" t="s">
        <v>46</v>
      </c>
      <c r="B19" s="4"/>
      <c r="C19" s="4"/>
      <c r="D19" s="4"/>
      <c r="E19" s="4"/>
      <c r="F19" s="4"/>
      <c r="G19" s="4"/>
      <c r="H19" s="4"/>
    </row>
    <row r="20" customFormat="false" ht="23.85" hidden="false" customHeight="false" outlineLevel="0" collapsed="false">
      <c r="A20" s="5" t="n">
        <v>12</v>
      </c>
      <c r="B20" s="6" t="s">
        <v>47</v>
      </c>
      <c r="C20" s="6" t="s">
        <v>48</v>
      </c>
      <c r="D20" s="7" t="s">
        <v>49</v>
      </c>
      <c r="E20" s="5" t="n">
        <v>3</v>
      </c>
      <c r="F20" s="8" t="n">
        <v>120</v>
      </c>
      <c r="G20" s="8" t="n">
        <f aca="false">E20*F20</f>
        <v>360</v>
      </c>
      <c r="H20" s="7" t="s">
        <v>14</v>
      </c>
    </row>
    <row r="21" customFormat="false" ht="15" hidden="false" customHeight="false" outlineLevel="0" collapsed="false">
      <c r="A21" s="5" t="n">
        <v>13</v>
      </c>
      <c r="B21" s="6" t="s">
        <v>50</v>
      </c>
      <c r="C21" s="6" t="s">
        <v>51</v>
      </c>
      <c r="D21" s="7" t="s">
        <v>32</v>
      </c>
      <c r="E21" s="5" t="n">
        <v>8</v>
      </c>
      <c r="F21" s="8" t="n">
        <v>15</v>
      </c>
      <c r="G21" s="8" t="n">
        <f aca="false">E21*F21</f>
        <v>120</v>
      </c>
      <c r="H21" s="7" t="s">
        <v>18</v>
      </c>
    </row>
    <row r="22" customFormat="false" ht="15" hidden="false" customHeight="false" outlineLevel="0" collapsed="false">
      <c r="A22" s="4" t="s">
        <v>52</v>
      </c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5" t="n">
        <v>14</v>
      </c>
      <c r="B23" s="6" t="s">
        <v>53</v>
      </c>
      <c r="C23" s="6" t="s">
        <v>54</v>
      </c>
      <c r="D23" s="7" t="s">
        <v>55</v>
      </c>
      <c r="E23" s="5" t="n">
        <v>1</v>
      </c>
      <c r="F23" s="8" t="n">
        <v>1600</v>
      </c>
      <c r="G23" s="8" t="n">
        <f aca="false">E23*F23</f>
        <v>1600</v>
      </c>
      <c r="H23" s="7" t="s">
        <v>56</v>
      </c>
    </row>
    <row r="24" customFormat="false" ht="15" hidden="false" customHeight="false" outlineLevel="0" collapsed="false">
      <c r="A24" s="4" t="s">
        <v>57</v>
      </c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5" t="n">
        <v>15</v>
      </c>
      <c r="B25" s="6" t="s">
        <v>58</v>
      </c>
      <c r="C25" s="6" t="s">
        <v>59</v>
      </c>
      <c r="D25" s="7" t="s">
        <v>49</v>
      </c>
      <c r="E25" s="5" t="n">
        <v>1</v>
      </c>
      <c r="F25" s="8" t="n">
        <v>70</v>
      </c>
      <c r="G25" s="8" t="n">
        <f aca="false">E25*F25</f>
        <v>70</v>
      </c>
      <c r="H25" s="7" t="s">
        <v>18</v>
      </c>
    </row>
    <row r="26" customFormat="false" ht="15" hidden="false" customHeight="false" outlineLevel="0" collapsed="false">
      <c r="A26" s="5" t="n">
        <v>16</v>
      </c>
      <c r="B26" s="6" t="s">
        <v>60</v>
      </c>
      <c r="C26" s="6" t="s">
        <v>61</v>
      </c>
      <c r="D26" s="7" t="s">
        <v>62</v>
      </c>
      <c r="E26" s="5" t="n">
        <v>2</v>
      </c>
      <c r="F26" s="8" t="n">
        <v>20</v>
      </c>
      <c r="G26" s="8" t="n">
        <f aca="false">E26*F26</f>
        <v>40</v>
      </c>
      <c r="H26" s="7" t="s">
        <v>33</v>
      </c>
    </row>
    <row r="27" customFormat="false" ht="15" hidden="false" customHeight="false" outlineLevel="0" collapsed="false">
      <c r="A27" s="4" t="s">
        <v>63</v>
      </c>
      <c r="B27" s="4"/>
      <c r="C27" s="4"/>
      <c r="D27" s="4"/>
      <c r="E27" s="4"/>
      <c r="F27" s="4"/>
      <c r="G27" s="4"/>
      <c r="H27" s="4"/>
    </row>
    <row r="28" customFormat="false" ht="15" hidden="false" customHeight="false" outlineLevel="0" collapsed="false">
      <c r="A28" s="5" t="n">
        <v>17</v>
      </c>
      <c r="B28" s="6" t="s">
        <v>64</v>
      </c>
      <c r="C28" s="6" t="s">
        <v>65</v>
      </c>
      <c r="D28" s="7" t="s">
        <v>36</v>
      </c>
      <c r="E28" s="5" t="n">
        <v>2</v>
      </c>
      <c r="F28" s="8" t="n">
        <v>30</v>
      </c>
      <c r="G28" s="8" t="n">
        <f aca="false">E28*F28</f>
        <v>60</v>
      </c>
      <c r="H28" s="7" t="s">
        <v>18</v>
      </c>
    </row>
    <row r="29" customFormat="false" ht="15" hidden="false" customHeight="false" outlineLevel="0" collapsed="false">
      <c r="A29" s="5" t="n">
        <v>18</v>
      </c>
      <c r="B29" s="6" t="s">
        <v>66</v>
      </c>
      <c r="C29" s="6" t="s">
        <v>67</v>
      </c>
      <c r="D29" s="7" t="s">
        <v>68</v>
      </c>
      <c r="E29" s="5" t="n">
        <v>2</v>
      </c>
      <c r="F29" s="8" t="n">
        <v>40</v>
      </c>
      <c r="G29" s="8" t="n">
        <f aca="false">E29*F29</f>
        <v>80</v>
      </c>
      <c r="H29" s="7" t="s">
        <v>18</v>
      </c>
    </row>
    <row r="30" customFormat="false" ht="15" hidden="false" customHeight="false" outlineLevel="0" collapsed="false">
      <c r="A30" s="5" t="n">
        <v>19</v>
      </c>
      <c r="B30" s="6" t="s">
        <v>69</v>
      </c>
      <c r="C30" s="6" t="s">
        <v>70</v>
      </c>
      <c r="D30" s="7" t="s">
        <v>68</v>
      </c>
      <c r="E30" s="5" t="n">
        <v>6</v>
      </c>
      <c r="F30" s="8" t="n">
        <v>25</v>
      </c>
      <c r="G30" s="8" t="n">
        <f aca="false">E30*F30</f>
        <v>150</v>
      </c>
      <c r="H30" s="7" t="s">
        <v>18</v>
      </c>
    </row>
    <row r="31" customFormat="false" ht="15" hidden="false" customHeight="false" outlineLevel="0" collapsed="false">
      <c r="A31" s="4" t="s">
        <v>71</v>
      </c>
      <c r="B31" s="4"/>
      <c r="C31" s="4"/>
      <c r="D31" s="4"/>
      <c r="E31" s="4"/>
      <c r="F31" s="4"/>
      <c r="G31" s="4"/>
      <c r="H31" s="4"/>
    </row>
    <row r="32" customFormat="false" ht="15" hidden="false" customHeight="false" outlineLevel="0" collapsed="false">
      <c r="A32" s="5" t="n">
        <v>20</v>
      </c>
      <c r="B32" s="6" t="s">
        <v>72</v>
      </c>
      <c r="C32" s="6" t="s">
        <v>73</v>
      </c>
      <c r="D32" s="7" t="s">
        <v>49</v>
      </c>
      <c r="E32" s="5" t="n">
        <v>1</v>
      </c>
      <c r="F32" s="8" t="n">
        <v>90</v>
      </c>
      <c r="G32" s="8" t="n">
        <f aca="false">E32*F32</f>
        <v>90</v>
      </c>
      <c r="H32" s="7" t="s">
        <v>18</v>
      </c>
    </row>
    <row r="33" customFormat="false" ht="15" hidden="false" customHeight="false" outlineLevel="0" collapsed="false">
      <c r="A33" s="5" t="n">
        <v>21</v>
      </c>
      <c r="B33" s="6" t="s">
        <v>74</v>
      </c>
      <c r="C33" s="6" t="s">
        <v>75</v>
      </c>
      <c r="D33" s="7" t="s">
        <v>49</v>
      </c>
      <c r="E33" s="5" t="n">
        <v>1</v>
      </c>
      <c r="F33" s="8" t="n">
        <v>150</v>
      </c>
      <c r="G33" s="8" t="n">
        <f aca="false">E33*F33</f>
        <v>150</v>
      </c>
      <c r="H33" s="7" t="s">
        <v>18</v>
      </c>
    </row>
    <row r="34" customFormat="false" ht="15" hidden="false" customHeight="false" outlineLevel="0" collapsed="false">
      <c r="A34" s="4" t="s">
        <v>76</v>
      </c>
      <c r="B34" s="4"/>
      <c r="C34" s="4"/>
      <c r="D34" s="4"/>
      <c r="E34" s="4"/>
      <c r="F34" s="4"/>
      <c r="G34" s="4"/>
      <c r="H34" s="4"/>
    </row>
    <row r="35" customFormat="false" ht="15" hidden="false" customHeight="false" outlineLevel="0" collapsed="false">
      <c r="A35" s="5" t="n">
        <v>22</v>
      </c>
      <c r="B35" s="6" t="s">
        <v>77</v>
      </c>
      <c r="C35" s="6" t="s">
        <v>78</v>
      </c>
      <c r="D35" s="7" t="s">
        <v>79</v>
      </c>
      <c r="E35" s="5" t="n">
        <v>2</v>
      </c>
      <c r="F35" s="8" t="n">
        <v>40</v>
      </c>
      <c r="G35" s="8" t="n">
        <f aca="false">E35*F35</f>
        <v>80</v>
      </c>
      <c r="H35" s="7" t="s">
        <v>33</v>
      </c>
    </row>
    <row r="36" customFormat="false" ht="15" hidden="false" customHeight="false" outlineLevel="0" collapsed="false">
      <c r="A36" s="5" t="n">
        <v>23</v>
      </c>
      <c r="B36" s="6" t="s">
        <v>80</v>
      </c>
      <c r="C36" s="6" t="s">
        <v>81</v>
      </c>
      <c r="D36" s="7" t="s">
        <v>79</v>
      </c>
      <c r="E36" s="5" t="n">
        <v>1</v>
      </c>
      <c r="F36" s="8" t="n">
        <v>80</v>
      </c>
      <c r="G36" s="8" t="n">
        <f aca="false">E36*F36</f>
        <v>80</v>
      </c>
      <c r="H36" s="7" t="s">
        <v>26</v>
      </c>
    </row>
    <row r="37" customFormat="false" ht="15" hidden="false" customHeight="false" outlineLevel="0" collapsed="false">
      <c r="A37" s="5" t="n">
        <v>24</v>
      </c>
      <c r="B37" s="6" t="s">
        <v>82</v>
      </c>
      <c r="C37" s="6" t="s">
        <v>83</v>
      </c>
      <c r="D37" s="7" t="s">
        <v>84</v>
      </c>
      <c r="E37" s="5" t="n">
        <v>4</v>
      </c>
      <c r="F37" s="8" t="n">
        <v>15</v>
      </c>
      <c r="G37" s="8" t="n">
        <f aca="false">E37*F37</f>
        <v>60</v>
      </c>
      <c r="H37" s="7" t="s">
        <v>18</v>
      </c>
    </row>
    <row r="38" customFormat="false" ht="15" hidden="false" customHeight="false" outlineLevel="0" collapsed="false">
      <c r="A38" s="5" t="n">
        <v>25</v>
      </c>
      <c r="B38" s="6" t="s">
        <v>85</v>
      </c>
      <c r="C38" s="6" t="s">
        <v>86</v>
      </c>
      <c r="D38" s="7" t="s">
        <v>84</v>
      </c>
      <c r="E38" s="5" t="n">
        <v>3</v>
      </c>
      <c r="F38" s="8" t="n">
        <v>8</v>
      </c>
      <c r="G38" s="8" t="n">
        <f aca="false">E38*F38</f>
        <v>24</v>
      </c>
      <c r="H38" s="7" t="s">
        <v>18</v>
      </c>
    </row>
    <row r="39" customFormat="false" ht="15" hidden="false" customHeight="false" outlineLevel="0" collapsed="false">
      <c r="A39" s="5" t="n">
        <v>26</v>
      </c>
      <c r="B39" s="6" t="s">
        <v>87</v>
      </c>
      <c r="C39" s="6" t="s">
        <v>88</v>
      </c>
      <c r="D39" s="7" t="s">
        <v>68</v>
      </c>
      <c r="E39" s="5" t="n">
        <v>4</v>
      </c>
      <c r="F39" s="8" t="n">
        <v>15</v>
      </c>
      <c r="G39" s="8" t="n">
        <f aca="false">E39*F39</f>
        <v>60</v>
      </c>
      <c r="H39" s="7" t="s">
        <v>33</v>
      </c>
    </row>
    <row r="40" customFormat="false" ht="15" hidden="false" customHeight="false" outlineLevel="0" collapsed="false">
      <c r="A40" s="5" t="n">
        <v>27</v>
      </c>
      <c r="B40" s="6" t="s">
        <v>89</v>
      </c>
      <c r="C40" s="6" t="s">
        <v>90</v>
      </c>
      <c r="D40" s="7" t="s">
        <v>91</v>
      </c>
      <c r="E40" s="5" t="n">
        <v>1</v>
      </c>
      <c r="F40" s="8" t="n">
        <v>200</v>
      </c>
      <c r="G40" s="8" t="n">
        <f aca="false">E40*F40</f>
        <v>200</v>
      </c>
      <c r="H40" s="7" t="s">
        <v>33</v>
      </c>
    </row>
    <row r="41" customFormat="false" ht="15" hidden="false" customHeight="false" outlineLevel="0" collapsed="false">
      <c r="A41" s="4" t="s">
        <v>92</v>
      </c>
      <c r="B41" s="4"/>
      <c r="C41" s="4"/>
      <c r="D41" s="4"/>
      <c r="E41" s="4"/>
      <c r="F41" s="4"/>
      <c r="G41" s="4"/>
      <c r="H41" s="4"/>
    </row>
    <row r="42" customFormat="false" ht="15" hidden="false" customHeight="false" outlineLevel="0" collapsed="false">
      <c r="A42" s="5" t="n">
        <v>28</v>
      </c>
      <c r="B42" s="6" t="s">
        <v>93</v>
      </c>
      <c r="C42" s="6" t="s">
        <v>94</v>
      </c>
      <c r="D42" s="7" t="s">
        <v>95</v>
      </c>
      <c r="E42" s="5" t="n">
        <v>1</v>
      </c>
      <c r="F42" s="8" t="n">
        <v>1500</v>
      </c>
      <c r="G42" s="8" t="n">
        <f aca="false">E42*F42</f>
        <v>1500</v>
      </c>
      <c r="H42" s="7" t="s">
        <v>14</v>
      </c>
    </row>
    <row r="43" customFormat="false" ht="15" hidden="false" customHeight="false" outlineLevel="0" collapsed="false">
      <c r="A43" s="5" t="n">
        <v>29</v>
      </c>
      <c r="B43" s="6" t="s">
        <v>96</v>
      </c>
      <c r="C43" s="6" t="s">
        <v>97</v>
      </c>
      <c r="D43" s="7" t="s">
        <v>49</v>
      </c>
      <c r="E43" s="5" t="n">
        <v>1</v>
      </c>
      <c r="F43" s="8" t="n">
        <v>400</v>
      </c>
      <c r="G43" s="8" t="n">
        <f aca="false">E43*F43</f>
        <v>400</v>
      </c>
      <c r="H43" s="7" t="s">
        <v>18</v>
      </c>
    </row>
    <row r="44" customFormat="false" ht="15" hidden="false" customHeight="false" outlineLevel="0" collapsed="false">
      <c r="A44" s="5" t="n">
        <v>30</v>
      </c>
      <c r="B44" s="6" t="s">
        <v>98</v>
      </c>
      <c r="C44" s="6" t="s">
        <v>99</v>
      </c>
      <c r="D44" s="7" t="s">
        <v>95</v>
      </c>
      <c r="E44" s="5" t="n">
        <v>1</v>
      </c>
      <c r="F44" s="8" t="n">
        <v>3500</v>
      </c>
      <c r="G44" s="8" t="n">
        <f aca="false">E44*F44</f>
        <v>3500</v>
      </c>
      <c r="H44" s="7" t="s">
        <v>18</v>
      </c>
    </row>
    <row r="45" customFormat="false" ht="15" hidden="false" customHeight="false" outlineLevel="0" collapsed="false">
      <c r="A45" s="4" t="s">
        <v>100</v>
      </c>
      <c r="B45" s="4"/>
      <c r="C45" s="4"/>
      <c r="D45" s="4"/>
      <c r="E45" s="4"/>
      <c r="F45" s="4"/>
      <c r="G45" s="4"/>
      <c r="H45" s="4"/>
    </row>
    <row r="46" customFormat="false" ht="15" hidden="false" customHeight="false" outlineLevel="0" collapsed="false">
      <c r="A46" s="5" t="n">
        <v>31</v>
      </c>
      <c r="B46" s="6" t="s">
        <v>101</v>
      </c>
      <c r="C46" s="6" t="s">
        <v>102</v>
      </c>
      <c r="D46" s="7" t="s">
        <v>103</v>
      </c>
      <c r="E46" s="5" t="n">
        <v>1</v>
      </c>
      <c r="F46" s="8" t="n">
        <v>500</v>
      </c>
      <c r="G46" s="8" t="n">
        <f aca="false">E46*F46</f>
        <v>500</v>
      </c>
      <c r="H46" s="7" t="s">
        <v>104</v>
      </c>
    </row>
    <row r="48" customFormat="false" ht="15" hidden="false" customHeight="false" outlineLevel="0" collapsed="false">
      <c r="F48" s="9" t="s">
        <v>105</v>
      </c>
      <c r="G48" s="10" t="n">
        <f aca="false">SUM(G5:G46)-G43-G44-G45-G46</f>
        <v>7060</v>
      </c>
    </row>
    <row r="49" customFormat="false" ht="15" hidden="false" customHeight="false" outlineLevel="0" collapsed="false">
      <c r="F49" s="9" t="s">
        <v>106</v>
      </c>
      <c r="G49" s="10" t="n">
        <f aca="false">G43+G44+G45</f>
        <v>3900</v>
      </c>
    </row>
    <row r="50" customFormat="false" ht="15" hidden="false" customHeight="false" outlineLevel="0" collapsed="false">
      <c r="F50" s="9" t="s">
        <v>107</v>
      </c>
      <c r="G50" s="10" t="n">
        <f aca="false">G46</f>
        <v>500</v>
      </c>
    </row>
    <row r="51" customFormat="false" ht="15" hidden="false" customHeight="false" outlineLevel="0" collapsed="false">
      <c r="F51" s="11" t="s">
        <v>108</v>
      </c>
      <c r="G51" s="12" t="n">
        <f aca="false">SUM(G5:G46)</f>
        <v>11460</v>
      </c>
    </row>
  </sheetData>
  <mergeCells count="13">
    <mergeCell ref="A1:H1"/>
    <mergeCell ref="A2:H2"/>
    <mergeCell ref="A5:H5"/>
    <mergeCell ref="A8:H8"/>
    <mergeCell ref="A14:H14"/>
    <mergeCell ref="A19:H19"/>
    <mergeCell ref="A22:H22"/>
    <mergeCell ref="A24:H24"/>
    <mergeCell ref="A27:H27"/>
    <mergeCell ref="A31:H31"/>
    <mergeCell ref="A34:H34"/>
    <mergeCell ref="A41:H41"/>
    <mergeCell ref="A45:H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109</v>
      </c>
      <c r="B1" s="1"/>
      <c r="C1" s="1"/>
    </row>
    <row r="3" customFormat="false" ht="15" hidden="false" customHeight="false" outlineLevel="0" collapsed="false">
      <c r="A3" s="13" t="s">
        <v>3</v>
      </c>
      <c r="B3" s="13" t="s">
        <v>6</v>
      </c>
      <c r="C3" s="13" t="s">
        <v>110</v>
      </c>
    </row>
    <row r="4" customFormat="false" ht="15" hidden="false" customHeight="false" outlineLevel="0" collapsed="false">
      <c r="A4" s="14" t="s">
        <v>11</v>
      </c>
      <c r="B4" s="5" t="s">
        <v>111</v>
      </c>
      <c r="C4" s="15" t="s">
        <v>112</v>
      </c>
    </row>
    <row r="5" customFormat="false" ht="23.85" hidden="false" customHeight="false" outlineLevel="0" collapsed="false">
      <c r="A5" s="14" t="s">
        <v>113</v>
      </c>
      <c r="B5" s="5" t="s">
        <v>114</v>
      </c>
      <c r="C5" s="15" t="s">
        <v>115</v>
      </c>
    </row>
    <row r="6" customFormat="false" ht="15" hidden="false" customHeight="false" outlineLevel="0" collapsed="false">
      <c r="A6" s="14" t="s">
        <v>116</v>
      </c>
      <c r="B6" s="5" t="s">
        <v>117</v>
      </c>
      <c r="C6" s="15" t="s">
        <v>118</v>
      </c>
    </row>
    <row r="7" customFormat="false" ht="15" hidden="false" customHeight="false" outlineLevel="0" collapsed="false">
      <c r="A7" s="14" t="s">
        <v>27</v>
      </c>
      <c r="B7" s="5" t="s">
        <v>114</v>
      </c>
      <c r="C7" s="15" t="s">
        <v>119</v>
      </c>
    </row>
    <row r="8" customFormat="false" ht="15" hidden="false" customHeight="false" outlineLevel="0" collapsed="false">
      <c r="A8" s="14" t="s">
        <v>120</v>
      </c>
      <c r="B8" s="5" t="s">
        <v>121</v>
      </c>
      <c r="C8" s="15" t="s">
        <v>122</v>
      </c>
    </row>
    <row r="9" customFormat="false" ht="15" hidden="false" customHeight="false" outlineLevel="0" collapsed="false">
      <c r="A9" s="14" t="s">
        <v>123</v>
      </c>
      <c r="B9" s="5" t="s">
        <v>121</v>
      </c>
      <c r="C9" s="15" t="s">
        <v>124</v>
      </c>
    </row>
    <row r="10" customFormat="false" ht="15" hidden="false" customHeight="false" outlineLevel="0" collapsed="false">
      <c r="A10" s="14" t="s">
        <v>38</v>
      </c>
      <c r="B10" s="5" t="s">
        <v>125</v>
      </c>
      <c r="C10" s="15" t="s">
        <v>126</v>
      </c>
    </row>
    <row r="11" customFormat="false" ht="15" hidden="false" customHeight="false" outlineLevel="0" collapsed="false">
      <c r="A11" s="14" t="s">
        <v>40</v>
      </c>
      <c r="B11" s="5" t="s">
        <v>127</v>
      </c>
      <c r="C11" s="15" t="s">
        <v>128</v>
      </c>
    </row>
    <row r="12" customFormat="false" ht="15" hidden="false" customHeight="false" outlineLevel="0" collapsed="false">
      <c r="A12" s="14" t="s">
        <v>42</v>
      </c>
      <c r="B12" s="5" t="s">
        <v>125</v>
      </c>
      <c r="C12" s="15" t="s">
        <v>129</v>
      </c>
    </row>
    <row r="13" customFormat="false" ht="15" hidden="false" customHeight="false" outlineLevel="0" collapsed="false">
      <c r="A13" s="14" t="s">
        <v>44</v>
      </c>
      <c r="B13" s="5" t="s">
        <v>117</v>
      </c>
      <c r="C13" s="15" t="s">
        <v>130</v>
      </c>
    </row>
    <row r="14" customFormat="false" ht="15" hidden="false" customHeight="false" outlineLevel="0" collapsed="false">
      <c r="A14" s="14" t="s">
        <v>47</v>
      </c>
      <c r="B14" s="5" t="s">
        <v>131</v>
      </c>
      <c r="C14" s="15" t="s">
        <v>132</v>
      </c>
    </row>
    <row r="15" customFormat="false" ht="15" hidden="false" customHeight="false" outlineLevel="0" collapsed="false">
      <c r="A15" s="14" t="s">
        <v>50</v>
      </c>
      <c r="B15" s="5" t="s">
        <v>114</v>
      </c>
      <c r="C15" s="15" t="s">
        <v>133</v>
      </c>
    </row>
    <row r="16" customFormat="false" ht="15" hidden="false" customHeight="false" outlineLevel="0" collapsed="false">
      <c r="A16" s="14" t="s">
        <v>134</v>
      </c>
      <c r="B16" s="5" t="s">
        <v>135</v>
      </c>
      <c r="C16" s="15" t="s">
        <v>136</v>
      </c>
    </row>
    <row r="17" customFormat="false" ht="15" hidden="false" customHeight="false" outlineLevel="0" collapsed="false">
      <c r="A17" s="14" t="s">
        <v>58</v>
      </c>
      <c r="B17" s="5" t="s">
        <v>135</v>
      </c>
      <c r="C17" s="15" t="s">
        <v>137</v>
      </c>
    </row>
    <row r="18" customFormat="false" ht="15" hidden="false" customHeight="false" outlineLevel="0" collapsed="false">
      <c r="A18" s="14" t="s">
        <v>138</v>
      </c>
      <c r="B18" s="5" t="s">
        <v>121</v>
      </c>
      <c r="C18" s="15" t="s">
        <v>139</v>
      </c>
    </row>
    <row r="19" customFormat="false" ht="15" hidden="false" customHeight="false" outlineLevel="0" collapsed="false">
      <c r="A19" s="14" t="s">
        <v>66</v>
      </c>
      <c r="B19" s="5" t="s">
        <v>121</v>
      </c>
      <c r="C19" s="15" t="s">
        <v>140</v>
      </c>
    </row>
    <row r="20" customFormat="false" ht="15" hidden="false" customHeight="false" outlineLevel="0" collapsed="false">
      <c r="A20" s="14" t="s">
        <v>69</v>
      </c>
      <c r="B20" s="5" t="s">
        <v>111</v>
      </c>
      <c r="C20" s="15" t="s">
        <v>141</v>
      </c>
    </row>
    <row r="21" customFormat="false" ht="15" hidden="false" customHeight="false" outlineLevel="0" collapsed="false">
      <c r="A21" s="14" t="s">
        <v>77</v>
      </c>
      <c r="B21" s="5" t="s">
        <v>121</v>
      </c>
      <c r="C21" s="15" t="s">
        <v>142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143</v>
      </c>
      <c r="B1" s="1"/>
      <c r="C1" s="1"/>
      <c r="D1" s="1"/>
    </row>
    <row r="3" customFormat="false" ht="15" hidden="false" customHeight="false" outlineLevel="0" collapsed="false">
      <c r="A3" s="13" t="s">
        <v>144</v>
      </c>
      <c r="B3" s="13" t="s">
        <v>145</v>
      </c>
      <c r="C3" s="13" t="s">
        <v>146</v>
      </c>
      <c r="D3" s="13" t="s">
        <v>147</v>
      </c>
    </row>
    <row r="4" customFormat="false" ht="15" hidden="false" customHeight="false" outlineLevel="0" collapsed="false">
      <c r="A4" s="7" t="s">
        <v>148</v>
      </c>
      <c r="B4" s="7" t="s">
        <v>149</v>
      </c>
      <c r="C4" s="6" t="s">
        <v>150</v>
      </c>
      <c r="D4" s="7" t="s">
        <v>151</v>
      </c>
    </row>
    <row r="5" customFormat="false" ht="15" hidden="false" customHeight="false" outlineLevel="0" collapsed="false">
      <c r="A5" s="7" t="s">
        <v>121</v>
      </c>
      <c r="B5" s="7" t="s">
        <v>152</v>
      </c>
      <c r="C5" s="6" t="s">
        <v>153</v>
      </c>
      <c r="D5" s="7" t="s">
        <v>154</v>
      </c>
    </row>
    <row r="6" customFormat="false" ht="15" hidden="false" customHeight="false" outlineLevel="0" collapsed="false">
      <c r="A6" s="7" t="s">
        <v>131</v>
      </c>
      <c r="B6" s="7" t="s">
        <v>155</v>
      </c>
      <c r="C6" s="6" t="s">
        <v>156</v>
      </c>
      <c r="D6" s="7" t="s">
        <v>154</v>
      </c>
    </row>
    <row r="7" customFormat="false" ht="15" hidden="false" customHeight="false" outlineLevel="0" collapsed="false">
      <c r="A7" s="7" t="s">
        <v>157</v>
      </c>
      <c r="B7" s="7" t="s">
        <v>158</v>
      </c>
      <c r="C7" s="6" t="s">
        <v>159</v>
      </c>
      <c r="D7" s="7" t="s">
        <v>154</v>
      </c>
    </row>
    <row r="8" customFormat="false" ht="15" hidden="false" customHeight="false" outlineLevel="0" collapsed="false">
      <c r="A8" s="7" t="s">
        <v>117</v>
      </c>
      <c r="B8" s="7" t="s">
        <v>160</v>
      </c>
      <c r="C8" s="6" t="s">
        <v>161</v>
      </c>
      <c r="D8" s="7" t="s">
        <v>154</v>
      </c>
    </row>
    <row r="9" customFormat="false" ht="15" hidden="false" customHeight="false" outlineLevel="0" collapsed="false">
      <c r="A9" s="7" t="s">
        <v>162</v>
      </c>
      <c r="B9" s="7" t="s">
        <v>163</v>
      </c>
      <c r="C9" s="6" t="s">
        <v>164</v>
      </c>
      <c r="D9" s="7" t="s">
        <v>165</v>
      </c>
    </row>
    <row r="10" customFormat="false" ht="15" hidden="false" customHeight="false" outlineLevel="0" collapsed="false">
      <c r="A10" s="7" t="s">
        <v>166</v>
      </c>
      <c r="B10" s="7" t="s">
        <v>167</v>
      </c>
      <c r="C10" s="6" t="s">
        <v>168</v>
      </c>
      <c r="D10" s="7" t="s">
        <v>169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2026-08-02T14:32:06Z</dcterms:created>
  <dc:creator>openpyxl</dc:creator>
  <dc:description/>
  <dc:language>en-US</dc:language>
  <cp:lastModifiedBy/>
  <dcterms:modified xsi:type="dcterms:W3CDTF">2026-08-02T14:32:06Z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